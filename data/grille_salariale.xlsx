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ille salariale 2025" sheetId="1" state="visible" r:id="rId1"/>
    <sheet xmlns:r="http://schemas.openxmlformats.org/officeDocument/2006/relationships" name="Politique augmentations" sheetId="2" state="visible" r:id="rId2"/>
    <sheet xmlns:r="http://schemas.openxmlformats.org/officeDocument/2006/relationships" name="Effectifs &amp; répartition" sheetId="3" state="visible" r:id="rId3"/>
  </sheets>
  <definedNames/>
  <calcPr calcId="124519" fullCalcOnLoad="1"/>
</workbook>
</file>

<file path=xl/styles.xml><?xml version="1.0" encoding="utf-8"?>
<styleSheet xmlns="http://schemas.openxmlformats.org/spreadsheetml/2006/main">
  <numFmts count="2">
    <numFmt numFmtId="164" formatCode="#,##0 &quot;€&quot;"/>
    <numFmt numFmtId="165" formatCode="0.0%"/>
  </numFmts>
  <fonts count="6">
    <font>
      <name val="Calibri"/>
      <family val="2"/>
      <color theme="1"/>
      <sz val="11"/>
      <scheme val="minor"/>
    </font>
    <font>
      <name val="Arial"/>
      <b val="1"/>
      <color rgb="00FFFFFF"/>
      <sz val="16"/>
    </font>
    <font>
      <name val="Arial"/>
      <i val="1"/>
      <color rgb="00555555"/>
      <sz val="9"/>
    </font>
    <font>
      <name val="Arial"/>
      <b val="1"/>
      <color rgb="00FFFFFF"/>
      <sz val="11"/>
    </font>
    <font>
      <name val="Arial"/>
      <color rgb="00000000"/>
      <sz val="10"/>
    </font>
    <font>
      <name val="Arial"/>
      <b val="1"/>
      <color rgb="00FFFFFF"/>
      <sz val="13"/>
    </font>
  </fonts>
  <fills count="14">
    <fill>
      <patternFill/>
    </fill>
    <fill>
      <patternFill patternType="gray125"/>
    </fill>
    <fill>
      <patternFill patternType="solid">
        <fgColor rgb="001A3C6E"/>
      </patternFill>
    </fill>
    <fill>
      <patternFill patternType="solid">
        <fgColor rgb="00EEF3FB"/>
      </patternFill>
    </fill>
    <fill>
      <patternFill patternType="solid">
        <fgColor rgb="002E75B6"/>
      </patternFill>
    </fill>
    <fill>
      <patternFill patternType="solid">
        <fgColor rgb="00FFFFFF"/>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
      <patternFill patternType="solid">
        <fgColor rgb="00F0E6FF"/>
      </patternFill>
    </fill>
    <fill>
      <patternFill patternType="solid">
        <fgColor rgb="00FFE6E6"/>
      </patternFill>
    </fill>
    <fill>
      <patternFill patternType="solid">
        <fgColor rgb="00C6EFCE"/>
      </patternFill>
    </fill>
    <fill>
      <patternFill patternType="solid">
        <fgColor rgb="00FFCCCC"/>
      </patternFill>
    </fill>
  </fills>
  <borders count="3">
    <border>
      <left/>
      <right/>
      <top/>
      <bottom/>
      <diagonal/>
    </border>
    <border>
      <left style="thin">
        <color rgb="001A3C6E"/>
      </left>
      <right style="thin">
        <color rgb="001A3C6E"/>
      </right>
      <top style="thin">
        <color rgb="001A3C6E"/>
      </top>
      <bottom style="thin">
        <color rgb="001A3C6E"/>
      </bottom>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2" applyAlignment="1" pivotButton="0" quotePrefix="0" xfId="0">
      <alignment horizontal="left" vertical="center" wrapText="1"/>
    </xf>
    <xf numFmtId="164"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6" borderId="2" applyAlignment="1" pivotButton="0" quotePrefix="0" xfId="0">
      <alignment horizontal="left" vertical="center" wrapText="1"/>
    </xf>
    <xf numFmtId="164"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7" borderId="2" applyAlignment="1" pivotButton="0" quotePrefix="0" xfId="0">
      <alignment horizontal="left" vertical="center" wrapText="1"/>
    </xf>
    <xf numFmtId="164"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4" fillId="8" borderId="2" applyAlignment="1" pivotButton="0" quotePrefix="0" xfId="0">
      <alignment horizontal="left" vertical="center" wrapText="1"/>
    </xf>
    <xf numFmtId="164" fontId="4" fillId="8"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9" borderId="2" applyAlignment="1" pivotButton="0" quotePrefix="0" xfId="0">
      <alignment horizontal="left" vertical="center" wrapText="1"/>
    </xf>
    <xf numFmtId="164" fontId="4" fillId="9"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0" borderId="2" applyAlignment="1" pivotButton="0" quotePrefix="0" xfId="0">
      <alignment horizontal="left" vertical="center" wrapText="1"/>
    </xf>
    <xf numFmtId="164" fontId="4" fillId="10" borderId="2" applyAlignment="1" pivotButton="0" quotePrefix="0" xfId="0">
      <alignment horizontal="center" vertical="center" wrapText="1"/>
    </xf>
    <xf numFmtId="0" fontId="4" fillId="11" borderId="2" applyAlignment="1" pivotButton="0" quotePrefix="0" xfId="0">
      <alignment horizontal="center" vertical="center" wrapText="1"/>
    </xf>
    <xf numFmtId="0" fontId="4" fillId="11" borderId="2" applyAlignment="1" pivotButton="0" quotePrefix="0" xfId="0">
      <alignment horizontal="left" vertical="center" wrapText="1"/>
    </xf>
    <xf numFmtId="164" fontId="4" fillId="11" borderId="2" applyAlignment="1" pivotButton="0" quotePrefix="0" xfId="0">
      <alignment horizontal="center" vertical="center" wrapText="1"/>
    </xf>
    <xf numFmtId="0" fontId="2" fillId="3" borderId="0" applyAlignment="1" pivotButton="0" quotePrefix="0" xfId="0">
      <alignment horizontal="left" vertical="center" wrapText="1"/>
    </xf>
    <xf numFmtId="0" fontId="5" fillId="2" borderId="0" applyAlignment="1" pivotButton="0" quotePrefix="0" xfId="0">
      <alignment horizontal="center" vertical="center" wrapText="1"/>
    </xf>
    <xf numFmtId="0" fontId="4" fillId="12" borderId="2" applyAlignment="1" pivotButton="0" quotePrefix="0" xfId="0">
      <alignment horizontal="left" vertical="center" wrapText="1"/>
    </xf>
    <xf numFmtId="0" fontId="4" fillId="12" borderId="2" applyAlignment="1" pivotButton="0" quotePrefix="0" xfId="0">
      <alignment horizontal="center" vertical="center" wrapText="1"/>
    </xf>
    <xf numFmtId="0" fontId="4" fillId="13" borderId="2" applyAlignment="1" pivotButton="0" quotePrefix="0" xfId="0">
      <alignment horizontal="left" vertical="center" wrapText="1"/>
    </xf>
    <xf numFmtId="0" fontId="4" fillId="13" borderId="2" applyAlignment="1" pivotButton="0" quotePrefix="0" xfId="0">
      <alignment horizontal="center" vertical="center" wrapText="1"/>
    </xf>
    <xf numFmtId="165" fontId="4" fillId="5" borderId="2" applyAlignment="1" pivotButton="0" quotePrefix="0" xfId="0">
      <alignment horizontal="center" vertical="center" wrapText="1"/>
    </xf>
    <xf numFmtId="165" fontId="4" fillId="6" borderId="2" applyAlignment="1" pivotButton="0" quotePrefix="0" xfId="0">
      <alignment horizontal="center" vertical="center" wrapText="1"/>
    </xf>
    <xf numFmtId="165" fontId="4" fillId="7" borderId="2" applyAlignment="1" pivotButton="0" quotePrefix="0" xfId="0">
      <alignment horizontal="center" vertical="center" wrapText="1"/>
    </xf>
    <xf numFmtId="165" fontId="4" fillId="8" borderId="2" applyAlignment="1" pivotButton="0" quotePrefix="0" xfId="0">
      <alignment horizontal="center" vertical="center" wrapText="1"/>
    </xf>
    <xf numFmtId="165" fontId="4" fillId="9" borderId="2" applyAlignment="1" pivotButton="0" quotePrefix="0" xfId="0">
      <alignment horizontal="center" vertical="center" wrapText="1"/>
    </xf>
    <xf numFmtId="165" fontId="4" fillId="10" borderId="2" applyAlignment="1" pivotButton="0" quotePrefix="0" xfId="0">
      <alignment horizontal="center" vertical="center" wrapText="1"/>
    </xf>
    <xf numFmtId="0" fontId="3" fillId="2" borderId="1" pivotButton="0" quotePrefix="0" xfId="0"/>
    <xf numFmtId="0" fontId="3" fillId="2" borderId="1" applyAlignment="1" pivotButton="0" quotePrefix="0" xfId="0">
      <alignment horizontal="center" vertical="center" wrapText="1"/>
    </xf>
    <xf numFmtId="165" fontId="3" fillId="2" borderId="1" applyAlignment="1" pivotButton="0" quotePrefix="0" xfId="0">
      <alignment horizontal="center" vertical="center" wrapText="1"/>
    </xf>
    <xf numFmtId="164"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10" customWidth="1" min="1" max="1"/>
    <col width="30" customWidth="1" min="2" max="2"/>
    <col width="20" customWidth="1" min="3" max="3"/>
    <col width="18" customWidth="1" min="4" max="4"/>
    <col width="22" customWidth="1" min="5" max="5"/>
    <col width="22" customWidth="1" min="6" max="6"/>
    <col width="22" customWidth="1" min="7" max="7"/>
    <col width="22" customWidth="1" min="8" max="8"/>
    <col width="12" customWidth="1" min="9" max="9"/>
    <col width="18" customWidth="1" min="10" max="10"/>
    <col width="16" customWidth="1" min="11" max="11"/>
  </cols>
  <sheetData>
    <row r="1" ht="32" customHeight="1">
      <c r="A1" s="1" t="inlineStr">
        <is>
          <t>GRILLE SALARIALE — NOVATECH SAS — 2025</t>
        </is>
      </c>
    </row>
    <row r="2" ht="16" customHeight="1">
      <c r="A2" s="2" t="inlineStr">
        <is>
          <t>Document RH-DATA-001 | Version 1.3 | Responsable : Sofia Martins, DRH | Mise à jour : 1er janvier 2025 | Confidentiel</t>
        </is>
      </c>
    </row>
    <row r="3" ht="8" customHeight="1"/>
    <row r="4" ht="36" customHeight="1">
      <c r="A4" s="3" t="inlineStr">
        <is>
          <t>Niveau</t>
        </is>
      </c>
      <c r="B4" s="3" t="inlineStr">
        <is>
          <t>Intitulé de poste</t>
        </is>
      </c>
      <c r="C4" s="3" t="inlineStr">
        <is>
          <t>Famille métier</t>
        </is>
      </c>
      <c r="D4" s="3" t="inlineStr">
        <is>
          <t>Convention Syntec</t>
        </is>
      </c>
      <c r="E4" s="3" t="inlineStr">
        <is>
          <t>Salaire min brut (€/an)</t>
        </is>
      </c>
      <c r="F4" s="3" t="inlineStr">
        <is>
          <t>Salaire médian (€/an)</t>
        </is>
      </c>
      <c r="G4" s="3" t="inlineStr">
        <is>
          <t>Salaire max (€/an)</t>
        </is>
      </c>
      <c r="H4" s="3" t="inlineStr">
        <is>
          <t>Ancienneté min requise</t>
        </is>
      </c>
      <c r="I4" s="3" t="inlineStr">
        <is>
          <t>Forfait</t>
        </is>
      </c>
      <c r="J4" s="3" t="inlineStr">
        <is>
          <t>Variable max (%)</t>
        </is>
      </c>
      <c r="K4" s="3" t="inlineStr">
        <is>
          <t>BSPCE éligible</t>
        </is>
      </c>
    </row>
    <row r="5" ht="20" customHeight="1">
      <c r="A5" s="4" t="inlineStr">
        <is>
          <t>IC1</t>
        </is>
      </c>
      <c r="B5" s="5" t="inlineStr">
        <is>
          <t>Junior Software Engineer</t>
        </is>
      </c>
      <c r="C5" s="5" t="inlineStr">
        <is>
          <t>Engineering</t>
        </is>
      </c>
      <c r="D5" s="5" t="inlineStr">
        <is>
          <t>ETAM Pos. 2.1</t>
        </is>
      </c>
      <c r="E5" s="6" t="n">
        <v>38000</v>
      </c>
      <c r="F5" s="6" t="n">
        <v>42000</v>
      </c>
      <c r="G5" s="6" t="n">
        <v>46000</v>
      </c>
      <c r="H5" s="5" t="inlineStr">
        <is>
          <t>0 an</t>
        </is>
      </c>
      <c r="I5" s="4" t="inlineStr">
        <is>
          <t>35h/semaine</t>
        </is>
      </c>
      <c r="J5" s="4" t="n">
        <v>0</v>
      </c>
      <c r="K5" s="4" t="inlineStr">
        <is>
          <t>Non</t>
        </is>
      </c>
    </row>
    <row r="6" ht="20" customHeight="1">
      <c r="A6" s="4" t="inlineStr">
        <is>
          <t>IC2</t>
        </is>
      </c>
      <c r="B6" s="5" t="inlineStr">
        <is>
          <t>Software Engineer</t>
        </is>
      </c>
      <c r="C6" s="5" t="inlineStr">
        <is>
          <t>Engineering</t>
        </is>
      </c>
      <c r="D6" s="5" t="inlineStr">
        <is>
          <t>ETAM Pos. 2.2</t>
        </is>
      </c>
      <c r="E6" s="6" t="n">
        <v>46000</v>
      </c>
      <c r="F6" s="6" t="n">
        <v>52000</v>
      </c>
      <c r="G6" s="6" t="n">
        <v>58000</v>
      </c>
      <c r="H6" s="5" t="inlineStr">
        <is>
          <t>2 ans</t>
        </is>
      </c>
      <c r="I6" s="4" t="inlineStr">
        <is>
          <t>35h/semaine</t>
        </is>
      </c>
      <c r="J6" s="4" t="n">
        <v>5</v>
      </c>
      <c r="K6" s="4" t="inlineStr">
        <is>
          <t>Non</t>
        </is>
      </c>
    </row>
    <row r="7" ht="20" customHeight="1">
      <c r="A7" s="4" t="inlineStr">
        <is>
          <t>IC3</t>
        </is>
      </c>
      <c r="B7" s="5" t="inlineStr">
        <is>
          <t>Senior Software Engineer</t>
        </is>
      </c>
      <c r="C7" s="5" t="inlineStr">
        <is>
          <t>Engineering</t>
        </is>
      </c>
      <c r="D7" s="5" t="inlineStr">
        <is>
          <t>Cadre Pos. 2.3</t>
        </is>
      </c>
      <c r="E7" s="6" t="n">
        <v>58000</v>
      </c>
      <c r="F7" s="6" t="n">
        <v>65000</v>
      </c>
      <c r="G7" s="6" t="n">
        <v>75000</v>
      </c>
      <c r="H7" s="5" t="inlineStr">
        <is>
          <t>4 ans</t>
        </is>
      </c>
      <c r="I7" s="4" t="inlineStr">
        <is>
          <t>Forfait 218j</t>
        </is>
      </c>
      <c r="J7" s="4" t="n">
        <v>8</v>
      </c>
      <c r="K7" s="4" t="inlineStr">
        <is>
          <t>Oui</t>
        </is>
      </c>
    </row>
    <row r="8" ht="20" customHeight="1">
      <c r="A8" s="4" t="inlineStr">
        <is>
          <t>IC4</t>
        </is>
      </c>
      <c r="B8" s="5" t="inlineStr">
        <is>
          <t>Staff Engineer</t>
        </is>
      </c>
      <c r="C8" s="5" t="inlineStr">
        <is>
          <t>Engineering</t>
        </is>
      </c>
      <c r="D8" s="5" t="inlineStr">
        <is>
          <t>Cadre Pos. 3.1</t>
        </is>
      </c>
      <c r="E8" s="6" t="n">
        <v>75000</v>
      </c>
      <c r="F8" s="6" t="n">
        <v>85000</v>
      </c>
      <c r="G8" s="6" t="n">
        <v>95000</v>
      </c>
      <c r="H8" s="5" t="inlineStr">
        <is>
          <t>7 ans</t>
        </is>
      </c>
      <c r="I8" s="4" t="inlineStr">
        <is>
          <t>Forfait 218j</t>
        </is>
      </c>
      <c r="J8" s="4" t="n">
        <v>10</v>
      </c>
      <c r="K8" s="4" t="inlineStr">
        <is>
          <t>Oui</t>
        </is>
      </c>
    </row>
    <row r="9" ht="20" customHeight="1">
      <c r="A9" s="4" t="inlineStr">
        <is>
          <t>IC5</t>
        </is>
      </c>
      <c r="B9" s="5" t="inlineStr">
        <is>
          <t>Principal Engineer</t>
        </is>
      </c>
      <c r="C9" s="5" t="inlineStr">
        <is>
          <t>Engineering</t>
        </is>
      </c>
      <c r="D9" s="5" t="inlineStr">
        <is>
          <t>Cadre Pos. 3.2</t>
        </is>
      </c>
      <c r="E9" s="6" t="n">
        <v>90000</v>
      </c>
      <c r="F9" s="6" t="n">
        <v>105000</v>
      </c>
      <c r="G9" s="6" t="n">
        <v>120000</v>
      </c>
      <c r="H9" s="5" t="inlineStr">
        <is>
          <t>10 ans</t>
        </is>
      </c>
      <c r="I9" s="4" t="inlineStr">
        <is>
          <t>Forfait 218j</t>
        </is>
      </c>
      <c r="J9" s="4" t="n">
        <v>15</v>
      </c>
      <c r="K9" s="4" t="inlineStr">
        <is>
          <t>Oui</t>
        </is>
      </c>
    </row>
    <row r="10" ht="20" customHeight="1">
      <c r="A10" s="7" t="inlineStr">
        <is>
          <t>DA1</t>
        </is>
      </c>
      <c r="B10" s="8" t="inlineStr">
        <is>
          <t>Data Analyst</t>
        </is>
      </c>
      <c r="C10" s="8" t="inlineStr">
        <is>
          <t>Data &amp; IA</t>
        </is>
      </c>
      <c r="D10" s="8" t="inlineStr">
        <is>
          <t>ETAM Pos. 2.2</t>
        </is>
      </c>
      <c r="E10" s="9" t="n">
        <v>42000</v>
      </c>
      <c r="F10" s="9" t="n">
        <v>47000</v>
      </c>
      <c r="G10" s="9" t="n">
        <v>53000</v>
      </c>
      <c r="H10" s="8" t="inlineStr">
        <is>
          <t>1 an</t>
        </is>
      </c>
      <c r="I10" s="7" t="inlineStr">
        <is>
          <t>35h/semaine</t>
        </is>
      </c>
      <c r="J10" s="7" t="n">
        <v>5</v>
      </c>
      <c r="K10" s="7" t="inlineStr">
        <is>
          <t>Non</t>
        </is>
      </c>
    </row>
    <row r="11" ht="20" customHeight="1">
      <c r="A11" s="7" t="inlineStr">
        <is>
          <t>DA2</t>
        </is>
      </c>
      <c r="B11" s="8" t="inlineStr">
        <is>
          <t>Data Scientist</t>
        </is>
      </c>
      <c r="C11" s="8" t="inlineStr">
        <is>
          <t>Data &amp; IA</t>
        </is>
      </c>
      <c r="D11" s="8" t="inlineStr">
        <is>
          <t>Cadre Pos. 2.3</t>
        </is>
      </c>
      <c r="E11" s="9" t="n">
        <v>55000</v>
      </c>
      <c r="F11" s="9" t="n">
        <v>63000</v>
      </c>
      <c r="G11" s="9" t="n">
        <v>72000</v>
      </c>
      <c r="H11" s="8" t="inlineStr">
        <is>
          <t>3 ans</t>
        </is>
      </c>
      <c r="I11" s="7" t="inlineStr">
        <is>
          <t>Forfait 218j</t>
        </is>
      </c>
      <c r="J11" s="7" t="n">
        <v>8</v>
      </c>
      <c r="K11" s="7" t="inlineStr">
        <is>
          <t>Oui</t>
        </is>
      </c>
    </row>
    <row r="12" ht="20" customHeight="1">
      <c r="A12" s="7" t="inlineStr">
        <is>
          <t>DA3</t>
        </is>
      </c>
      <c r="B12" s="8" t="inlineStr">
        <is>
          <t>ML Engineer</t>
        </is>
      </c>
      <c r="C12" s="8" t="inlineStr">
        <is>
          <t>Data &amp; IA</t>
        </is>
      </c>
      <c r="D12" s="8" t="inlineStr">
        <is>
          <t>Cadre Pos. 2.3</t>
        </is>
      </c>
      <c r="E12" s="9" t="n">
        <v>60000</v>
      </c>
      <c r="F12" s="9" t="n">
        <v>70000</v>
      </c>
      <c r="G12" s="9" t="n">
        <v>82000</v>
      </c>
      <c r="H12" s="8" t="inlineStr">
        <is>
          <t>4 ans</t>
        </is>
      </c>
      <c r="I12" s="7" t="inlineStr">
        <is>
          <t>Forfait 218j</t>
        </is>
      </c>
      <c r="J12" s="7" t="n">
        <v>10</v>
      </c>
      <c r="K12" s="7" t="inlineStr">
        <is>
          <t>Oui</t>
        </is>
      </c>
    </row>
    <row r="13" ht="20" customHeight="1">
      <c r="A13" s="7" t="inlineStr">
        <is>
          <t>DA4</t>
        </is>
      </c>
      <c r="B13" s="8" t="inlineStr">
        <is>
          <t>Lead Data Scientist</t>
        </is>
      </c>
      <c r="C13" s="8" t="inlineStr">
        <is>
          <t>Data &amp; IA</t>
        </is>
      </c>
      <c r="D13" s="8" t="inlineStr">
        <is>
          <t>Cadre Pos. 3.1</t>
        </is>
      </c>
      <c r="E13" s="9" t="n">
        <v>80000</v>
      </c>
      <c r="F13" s="9" t="n">
        <v>92000</v>
      </c>
      <c r="G13" s="9" t="n">
        <v>108000</v>
      </c>
      <c r="H13" s="8" t="inlineStr">
        <is>
          <t>7 ans</t>
        </is>
      </c>
      <c r="I13" s="7" t="inlineStr">
        <is>
          <t>Forfait 218j</t>
        </is>
      </c>
      <c r="J13" s="7" t="n">
        <v>12</v>
      </c>
      <c r="K13" s="7" t="inlineStr">
        <is>
          <t>Oui</t>
        </is>
      </c>
    </row>
    <row r="14" ht="20" customHeight="1">
      <c r="A14" s="10" t="inlineStr">
        <is>
          <t>PM1</t>
        </is>
      </c>
      <c r="B14" s="11" t="inlineStr">
        <is>
          <t>Product Manager</t>
        </is>
      </c>
      <c r="C14" s="11" t="inlineStr">
        <is>
          <t>Product</t>
        </is>
      </c>
      <c r="D14" s="11" t="inlineStr">
        <is>
          <t>Cadre Pos. 2.3</t>
        </is>
      </c>
      <c r="E14" s="12" t="n">
        <v>52000</v>
      </c>
      <c r="F14" s="12" t="n">
        <v>60000</v>
      </c>
      <c r="G14" s="12" t="n">
        <v>70000</v>
      </c>
      <c r="H14" s="11" t="inlineStr">
        <is>
          <t>3 ans</t>
        </is>
      </c>
      <c r="I14" s="10" t="inlineStr">
        <is>
          <t>Forfait 218j</t>
        </is>
      </c>
      <c r="J14" s="10" t="n">
        <v>10</v>
      </c>
      <c r="K14" s="10" t="inlineStr">
        <is>
          <t>Oui</t>
        </is>
      </c>
    </row>
    <row r="15" ht="20" customHeight="1">
      <c r="A15" s="10" t="inlineStr">
        <is>
          <t>PM2</t>
        </is>
      </c>
      <c r="B15" s="11" t="inlineStr">
        <is>
          <t>Senior Product Manager</t>
        </is>
      </c>
      <c r="C15" s="11" t="inlineStr">
        <is>
          <t>Product</t>
        </is>
      </c>
      <c r="D15" s="11" t="inlineStr">
        <is>
          <t>Cadre Pos. 3.1</t>
        </is>
      </c>
      <c r="E15" s="12" t="n">
        <v>70000</v>
      </c>
      <c r="F15" s="12" t="n">
        <v>82000</v>
      </c>
      <c r="G15" s="12" t="n">
        <v>95000</v>
      </c>
      <c r="H15" s="11" t="inlineStr">
        <is>
          <t>6 ans</t>
        </is>
      </c>
      <c r="I15" s="10" t="inlineStr">
        <is>
          <t>Forfait 218j</t>
        </is>
      </c>
      <c r="J15" s="10" t="n">
        <v>12</v>
      </c>
      <c r="K15" s="10" t="inlineStr">
        <is>
          <t>Oui</t>
        </is>
      </c>
    </row>
    <row r="16" ht="20" customHeight="1">
      <c r="A16" s="10" t="inlineStr">
        <is>
          <t>PM3</t>
        </is>
      </c>
      <c r="B16" s="11" t="inlineStr">
        <is>
          <t>VP Product</t>
        </is>
      </c>
      <c r="C16" s="11" t="inlineStr">
        <is>
          <t>Product</t>
        </is>
      </c>
      <c r="D16" s="11" t="inlineStr">
        <is>
          <t>Cadre dirigeant</t>
        </is>
      </c>
      <c r="E16" s="12" t="n">
        <v>100000</v>
      </c>
      <c r="F16" s="12" t="n">
        <v>120000</v>
      </c>
      <c r="G16" s="12" t="n">
        <v>145000</v>
      </c>
      <c r="H16" s="11" t="inlineStr">
        <is>
          <t>10 ans</t>
        </is>
      </c>
      <c r="I16" s="10" t="inlineStr">
        <is>
          <t>Cadre dirigeant</t>
        </is>
      </c>
      <c r="J16" s="10" t="n">
        <v>20</v>
      </c>
      <c r="K16" s="10" t="inlineStr">
        <is>
          <t>Oui</t>
        </is>
      </c>
    </row>
    <row r="17" ht="20" customHeight="1">
      <c r="A17" s="13" t="inlineStr">
        <is>
          <t>SA1</t>
        </is>
      </c>
      <c r="B17" s="14" t="inlineStr">
        <is>
          <t>Business Development Rep (BDR)</t>
        </is>
      </c>
      <c r="C17" s="14" t="inlineStr">
        <is>
          <t>Sales</t>
        </is>
      </c>
      <c r="D17" s="14" t="inlineStr">
        <is>
          <t>ETAM Pos. 2.1</t>
        </is>
      </c>
      <c r="E17" s="15" t="n">
        <v>32000</v>
      </c>
      <c r="F17" s="15" t="n">
        <v>36000</v>
      </c>
      <c r="G17" s="15" t="n">
        <v>40000</v>
      </c>
      <c r="H17" s="14" t="inlineStr">
        <is>
          <t>0 an</t>
        </is>
      </c>
      <c r="I17" s="13" t="inlineStr">
        <is>
          <t>35h/semaine</t>
        </is>
      </c>
      <c r="J17" s="13" t="n">
        <v>30</v>
      </c>
      <c r="K17" s="13" t="inlineStr">
        <is>
          <t>Non</t>
        </is>
      </c>
    </row>
    <row r="18" ht="20" customHeight="1">
      <c r="A18" s="13" t="inlineStr">
        <is>
          <t>SA2</t>
        </is>
      </c>
      <c r="B18" s="14" t="inlineStr">
        <is>
          <t>Account Executive</t>
        </is>
      </c>
      <c r="C18" s="14" t="inlineStr">
        <is>
          <t>Sales</t>
        </is>
      </c>
      <c r="D18" s="14" t="inlineStr">
        <is>
          <t>Cadre Pos. 2.2</t>
        </is>
      </c>
      <c r="E18" s="15" t="n">
        <v>40000</v>
      </c>
      <c r="F18" s="15" t="n">
        <v>46000</v>
      </c>
      <c r="G18" s="15" t="n">
        <v>55000</v>
      </c>
      <c r="H18" s="14" t="inlineStr">
        <is>
          <t>2 ans</t>
        </is>
      </c>
      <c r="I18" s="13" t="inlineStr">
        <is>
          <t>Forfait 218j</t>
        </is>
      </c>
      <c r="J18" s="13" t="n">
        <v>40</v>
      </c>
      <c r="K18" s="13" t="inlineStr">
        <is>
          <t>Non</t>
        </is>
      </c>
    </row>
    <row r="19" ht="20" customHeight="1">
      <c r="A19" s="13" t="inlineStr">
        <is>
          <t>SA3</t>
        </is>
      </c>
      <c r="B19" s="14" t="inlineStr">
        <is>
          <t>Senior Account Executive</t>
        </is>
      </c>
      <c r="C19" s="14" t="inlineStr">
        <is>
          <t>Sales</t>
        </is>
      </c>
      <c r="D19" s="14" t="inlineStr">
        <is>
          <t>Cadre Pos. 2.3</t>
        </is>
      </c>
      <c r="E19" s="15" t="n">
        <v>50000</v>
      </c>
      <c r="F19" s="15" t="n">
        <v>58000</v>
      </c>
      <c r="G19" s="15" t="n">
        <v>68000</v>
      </c>
      <c r="H19" s="14" t="inlineStr">
        <is>
          <t>4 ans</t>
        </is>
      </c>
      <c r="I19" s="13" t="inlineStr">
        <is>
          <t>Forfait 218j</t>
        </is>
      </c>
      <c r="J19" s="13" t="n">
        <v>45</v>
      </c>
      <c r="K19" s="13" t="inlineStr">
        <is>
          <t>Oui</t>
        </is>
      </c>
    </row>
    <row r="20" ht="20" customHeight="1">
      <c r="A20" s="13" t="inlineStr">
        <is>
          <t>SA4</t>
        </is>
      </c>
      <c r="B20" s="14" t="inlineStr">
        <is>
          <t>Head of Sales</t>
        </is>
      </c>
      <c r="C20" s="14" t="inlineStr">
        <is>
          <t>Sales</t>
        </is>
      </c>
      <c r="D20" s="14" t="inlineStr">
        <is>
          <t>Cadre Pos. 3.1</t>
        </is>
      </c>
      <c r="E20" s="15" t="n">
        <v>70000</v>
      </c>
      <c r="F20" s="15" t="n">
        <v>85000</v>
      </c>
      <c r="G20" s="15" t="n">
        <v>100000</v>
      </c>
      <c r="H20" s="14" t="inlineStr">
        <is>
          <t>7 ans</t>
        </is>
      </c>
      <c r="I20" s="13" t="inlineStr">
        <is>
          <t>Forfait 218j</t>
        </is>
      </c>
      <c r="J20" s="13" t="n">
        <v>50</v>
      </c>
      <c r="K20" s="13" t="inlineStr">
        <is>
          <t>Oui</t>
        </is>
      </c>
    </row>
    <row r="21" ht="20" customHeight="1">
      <c r="A21" s="16" t="inlineStr">
        <is>
          <t>HR1</t>
        </is>
      </c>
      <c r="B21" s="17" t="inlineStr">
        <is>
          <t>HR Generalist / People Ops</t>
        </is>
      </c>
      <c r="C21" s="17" t="inlineStr">
        <is>
          <t>RH &amp; Ops</t>
        </is>
      </c>
      <c r="D21" s="17" t="inlineStr">
        <is>
          <t>ETAM Pos. 2.2</t>
        </is>
      </c>
      <c r="E21" s="18" t="n">
        <v>38000</v>
      </c>
      <c r="F21" s="18" t="n">
        <v>43000</v>
      </c>
      <c r="G21" s="18" t="n">
        <v>49000</v>
      </c>
      <c r="H21" s="17" t="inlineStr">
        <is>
          <t>2 ans</t>
        </is>
      </c>
      <c r="I21" s="16" t="inlineStr">
        <is>
          <t>35h/semaine</t>
        </is>
      </c>
      <c r="J21" s="16" t="n">
        <v>3</v>
      </c>
      <c r="K21" s="16" t="inlineStr">
        <is>
          <t>Non</t>
        </is>
      </c>
    </row>
    <row r="22" ht="20" customHeight="1">
      <c r="A22" s="16" t="inlineStr">
        <is>
          <t>HR2</t>
        </is>
      </c>
      <c r="B22" s="17" t="inlineStr">
        <is>
          <t>DRH / CHRO</t>
        </is>
      </c>
      <c r="C22" s="17" t="inlineStr">
        <is>
          <t>RH &amp; Ops</t>
        </is>
      </c>
      <c r="D22" s="17" t="inlineStr">
        <is>
          <t>Cadre Pos. 3.1</t>
        </is>
      </c>
      <c r="E22" s="18" t="n">
        <v>75000</v>
      </c>
      <c r="F22" s="18" t="n">
        <v>88000</v>
      </c>
      <c r="G22" s="18" t="n">
        <v>105000</v>
      </c>
      <c r="H22" s="17" t="inlineStr">
        <is>
          <t>8 ans</t>
        </is>
      </c>
      <c r="I22" s="16" t="inlineStr">
        <is>
          <t>Forfait 218j</t>
        </is>
      </c>
      <c r="J22" s="16" t="n">
        <v>10</v>
      </c>
      <c r="K22" s="16" t="inlineStr">
        <is>
          <t>Oui</t>
        </is>
      </c>
    </row>
    <row r="23" ht="20" customHeight="1">
      <c r="A23" s="19" t="inlineStr">
        <is>
          <t>DES1</t>
        </is>
      </c>
      <c r="B23" s="20" t="inlineStr">
        <is>
          <t>UX/UI Designer</t>
        </is>
      </c>
      <c r="C23" s="20" t="inlineStr">
        <is>
          <t>Design</t>
        </is>
      </c>
      <c r="D23" s="20" t="inlineStr">
        <is>
          <t>ETAM Pos. 2.2</t>
        </is>
      </c>
      <c r="E23" s="21" t="n">
        <v>42000</v>
      </c>
      <c r="F23" s="21" t="n">
        <v>48000</v>
      </c>
      <c r="G23" s="21" t="n">
        <v>55000</v>
      </c>
      <c r="H23" s="20" t="inlineStr">
        <is>
          <t>2 ans</t>
        </is>
      </c>
      <c r="I23" s="19" t="inlineStr">
        <is>
          <t>35h/semaine</t>
        </is>
      </c>
      <c r="J23" s="19" t="n">
        <v>5</v>
      </c>
      <c r="K23" s="19" t="inlineStr">
        <is>
          <t>Non</t>
        </is>
      </c>
    </row>
    <row r="24" ht="20" customHeight="1">
      <c r="A24" s="19" t="inlineStr">
        <is>
          <t>DES2</t>
        </is>
      </c>
      <c r="B24" s="20" t="inlineStr">
        <is>
          <t>Lead Designer</t>
        </is>
      </c>
      <c r="C24" s="20" t="inlineStr">
        <is>
          <t>Design</t>
        </is>
      </c>
      <c r="D24" s="20" t="inlineStr">
        <is>
          <t>Cadre Pos. 2.3</t>
        </is>
      </c>
      <c r="E24" s="21" t="n">
        <v>58000</v>
      </c>
      <c r="F24" s="21" t="n">
        <v>68000</v>
      </c>
      <c r="G24" s="21" t="n">
        <v>78000</v>
      </c>
      <c r="H24" s="20" t="inlineStr">
        <is>
          <t>5 ans</t>
        </is>
      </c>
      <c r="I24" s="19" t="inlineStr">
        <is>
          <t>Forfait 218j</t>
        </is>
      </c>
      <c r="J24" s="19" t="n">
        <v>8</v>
      </c>
      <c r="K24" s="19" t="inlineStr">
        <is>
          <t>Oui</t>
        </is>
      </c>
    </row>
    <row r="25" ht="20" customHeight="1">
      <c r="A25" s="22" t="inlineStr">
        <is>
          <t>DIR1</t>
        </is>
      </c>
      <c r="B25" s="23" t="inlineStr">
        <is>
          <t>CTO</t>
        </is>
      </c>
      <c r="C25" s="23" t="inlineStr">
        <is>
          <t>Direction</t>
        </is>
      </c>
      <c r="D25" s="23" t="inlineStr">
        <is>
          <t>Cadre dirigeant</t>
        </is>
      </c>
      <c r="E25" s="24" t="n">
        <v>120000</v>
      </c>
      <c r="F25" s="24" t="n">
        <v>140000</v>
      </c>
      <c r="G25" s="24" t="n">
        <v>165000</v>
      </c>
      <c r="H25" s="23" t="inlineStr">
        <is>
          <t>12 ans</t>
        </is>
      </c>
      <c r="I25" s="22" t="inlineStr">
        <is>
          <t>Cadre dirigeant</t>
        </is>
      </c>
      <c r="J25" s="22" t="n">
        <v>20</v>
      </c>
      <c r="K25" s="22" t="inlineStr">
        <is>
          <t>Oui</t>
        </is>
      </c>
    </row>
    <row r="26" ht="20" customHeight="1">
      <c r="A26" s="22" t="inlineStr">
        <is>
          <t>DIR2</t>
        </is>
      </c>
      <c r="B26" s="23" t="inlineStr">
        <is>
          <t>CEO</t>
        </is>
      </c>
      <c r="C26" s="23" t="inlineStr">
        <is>
          <t>Direction</t>
        </is>
      </c>
      <c r="D26" s="23" t="inlineStr">
        <is>
          <t>Cadre dirigeant</t>
        </is>
      </c>
      <c r="E26" s="24" t="n">
        <v>140000</v>
      </c>
      <c r="F26" s="24" t="n">
        <v>160000</v>
      </c>
      <c r="G26" s="24" t="n">
        <v>185000</v>
      </c>
      <c r="H26" s="23" t="inlineStr">
        <is>
          <t>15 ans</t>
        </is>
      </c>
      <c r="I26" s="22" t="inlineStr">
        <is>
          <t>Cadre dirigeant</t>
        </is>
      </c>
      <c r="J26" s="22" t="n">
        <v>25</v>
      </c>
      <c r="K26" s="22" t="inlineStr">
        <is>
          <t>Oui</t>
        </is>
      </c>
    </row>
    <row r="28" ht="28" customHeight="1">
      <c r="A28" s="25" t="inlineStr">
        <is>
          <t>NOTES : Salaires bruts annuels hors variable. Convention collective Syntec (IDCC 1486). Révision annuelle au 1er janvier sur la base de l'index SYNTEC et du mérite individuel. Fourchettes indicatives, ajustées selon profil et marché.</t>
        </is>
      </c>
    </row>
  </sheetData>
  <mergeCells count="3">
    <mergeCell ref="A2:K2"/>
    <mergeCell ref="A1:K1"/>
    <mergeCell ref="A28:K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5" customWidth="1" min="1" max="1"/>
    <col width="14" customWidth="1" min="2" max="2"/>
    <col width="22" customWidth="1" min="3" max="3"/>
    <col width="22" customWidth="1" min="4" max="4"/>
    <col width="22" customWidth="1" min="5" max="5"/>
    <col width="40" customWidth="1" min="6" max="6"/>
  </cols>
  <sheetData>
    <row r="1" ht="28" customHeight="1">
      <c r="A1" s="26" t="inlineStr">
        <is>
          <t>POLITIQUE D'AUGMENTATIONS SALARIALES — NOVATECH SAS — RH-DATA-002 v1.1</t>
        </is>
      </c>
    </row>
    <row r="2">
      <c r="A2" s="2" t="inlineStr">
        <is>
          <t>Révisé annuellement en janvier | Responsable : Sofia Martins, DRH | Dernier review : 10 janvier 2025</t>
        </is>
      </c>
    </row>
    <row r="4" ht="36" customHeight="1">
      <c r="A4" s="3" t="inlineStr">
        <is>
          <t>Niveau de performance (Entretien annuel)</t>
        </is>
      </c>
      <c r="B4" s="3" t="inlineStr">
        <is>
          <t>Note (sur 5)</t>
        </is>
      </c>
      <c r="C4" s="3" t="inlineStr">
        <is>
          <t>Augmentation plancher (%)</t>
        </is>
      </c>
      <c r="D4" s="3" t="inlineStr">
        <is>
          <t>Augmentation cible (%)</t>
        </is>
      </c>
      <c r="E4" s="3" t="inlineStr">
        <is>
          <t>Augmentation plafond (%)</t>
        </is>
      </c>
      <c r="F4" s="3" t="inlineStr">
        <is>
          <t>Commentaire</t>
        </is>
      </c>
    </row>
    <row r="5" ht="22" customHeight="1">
      <c r="A5" s="27" t="inlineStr">
        <is>
          <t>Exceptionnel — dépasse largement les objectifs</t>
        </is>
      </c>
      <c r="B5" s="28" t="inlineStr">
        <is>
          <t>5/5</t>
        </is>
      </c>
      <c r="C5" s="28" t="inlineStr">
        <is>
          <t>6%</t>
        </is>
      </c>
      <c r="D5" s="28" t="inlineStr">
        <is>
          <t>9%</t>
        </is>
      </c>
      <c r="E5" s="28" t="inlineStr">
        <is>
          <t>15%</t>
        </is>
      </c>
      <c r="F5" s="27" t="inlineStr">
        <is>
          <t>Comité de direction requis au-delà de 12%</t>
        </is>
      </c>
    </row>
    <row r="6" ht="22" customHeight="1">
      <c r="A6" s="8" t="inlineStr">
        <is>
          <t>Très bon — dépasse la majorité des objectifs</t>
        </is>
      </c>
      <c r="B6" s="7" t="inlineStr">
        <is>
          <t>4/5</t>
        </is>
      </c>
      <c r="C6" s="7" t="inlineStr">
        <is>
          <t>4%</t>
        </is>
      </c>
      <c r="D6" s="7" t="inlineStr">
        <is>
          <t>6%</t>
        </is>
      </c>
      <c r="E6" s="7" t="inlineStr">
        <is>
          <t>9%</t>
        </is>
      </c>
      <c r="F6" s="8" t="inlineStr">
        <is>
          <t>Validation DRH + manager</t>
        </is>
      </c>
    </row>
    <row r="7" ht="22" customHeight="1">
      <c r="A7" s="11" t="inlineStr">
        <is>
          <t>Satisfaisant — atteint les objectifs fixés</t>
        </is>
      </c>
      <c r="B7" s="10" t="inlineStr">
        <is>
          <t>3/5</t>
        </is>
      </c>
      <c r="C7" s="10" t="inlineStr">
        <is>
          <t>2%</t>
        </is>
      </c>
      <c r="D7" s="10" t="inlineStr">
        <is>
          <t>3.5%</t>
        </is>
      </c>
      <c r="E7" s="10" t="inlineStr">
        <is>
          <t>5%</t>
        </is>
      </c>
      <c r="F7" s="11" t="inlineStr">
        <is>
          <t>Standard — validation manager</t>
        </is>
      </c>
    </row>
    <row r="8" ht="22" customHeight="1">
      <c r="A8" s="14" t="inlineStr">
        <is>
          <t>À améliorer — atteint partiellement les objectifs</t>
        </is>
      </c>
      <c r="B8" s="13" t="inlineStr">
        <is>
          <t>2/5</t>
        </is>
      </c>
      <c r="C8" s="13" t="inlineStr">
        <is>
          <t>0%</t>
        </is>
      </c>
      <c r="D8" s="13" t="inlineStr">
        <is>
          <t>1.5%</t>
        </is>
      </c>
      <c r="E8" s="13" t="inlineStr">
        <is>
          <t>2%</t>
        </is>
      </c>
      <c r="F8" s="14" t="inlineStr">
        <is>
          <t>Accompagnement RH obligatoire (PIP)</t>
        </is>
      </c>
    </row>
    <row r="9" ht="22" customHeight="1">
      <c r="A9" s="29" t="inlineStr">
        <is>
          <t>Insuffisant — n'atteint pas les objectifs</t>
        </is>
      </c>
      <c r="B9" s="30" t="inlineStr">
        <is>
          <t>1/5</t>
        </is>
      </c>
      <c r="C9" s="30" t="inlineStr">
        <is>
          <t>0%</t>
        </is>
      </c>
      <c r="D9" s="30" t="inlineStr">
        <is>
          <t>0%</t>
        </is>
      </c>
      <c r="E9" s="30" t="inlineStr">
        <is>
          <t>0%</t>
        </is>
      </c>
      <c r="F9" s="29" t="inlineStr">
        <is>
          <t>Entretien DRH + plan de redressement</t>
        </is>
      </c>
    </row>
    <row r="11" ht="28" customHeight="1">
      <c r="A11" s="25" t="inlineStr">
        <is>
          <t>Les augmentations sont effectives au 1er avril de chaque année. Budget global d'augmentation fixé à 5% de la masse salariale (décision CA janvier 2025). Référence légale : Art. L.3221-1 et suivants du Code du travail (égalité de rémunération).</t>
        </is>
      </c>
    </row>
  </sheetData>
  <mergeCells count="3">
    <mergeCell ref="A2:F2"/>
    <mergeCell ref="A11:F1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0" customWidth="1" min="1" max="1"/>
    <col width="22" customWidth="1" min="2" max="2"/>
    <col width="22" customWidth="1" min="3" max="3"/>
    <col width="32" customWidth="1" min="4" max="4"/>
  </cols>
  <sheetData>
    <row r="1" ht="28" customHeight="1">
      <c r="A1" s="26" t="inlineStr">
        <is>
          <t>EFFECTIFS NOVATECH SAS — JANVIER 2025</t>
        </is>
      </c>
    </row>
    <row r="3" ht="32" customHeight="1">
      <c r="A3" s="3" t="inlineStr">
        <is>
          <t>Famille métier</t>
        </is>
      </c>
      <c r="B3" s="3" t="inlineStr">
        <is>
          <t>Nombre de salariés</t>
        </is>
      </c>
      <c r="C3" s="3" t="inlineStr">
        <is>
          <t>% de l'effectif total</t>
        </is>
      </c>
      <c r="D3" s="3" t="inlineStr">
        <is>
          <t>Masse salariale estimée (€/an)</t>
        </is>
      </c>
    </row>
    <row r="4" ht="20" customHeight="1">
      <c r="A4" s="4" t="inlineStr">
        <is>
          <t>Engineering</t>
        </is>
      </c>
      <c r="B4" s="4" t="n">
        <v>38</v>
      </c>
      <c r="C4" s="31">
        <f>B4/B10</f>
        <v/>
      </c>
      <c r="D4" s="6">
        <f>B4*62000</f>
        <v/>
      </c>
    </row>
    <row r="5" ht="20" customHeight="1">
      <c r="A5" s="7" t="inlineStr">
        <is>
          <t>Data &amp; IA</t>
        </is>
      </c>
      <c r="B5" s="7" t="n">
        <v>18</v>
      </c>
      <c r="C5" s="32">
        <f>B5/B10</f>
        <v/>
      </c>
      <c r="D5" s="9">
        <f>B5*67000</f>
        <v/>
      </c>
    </row>
    <row r="6" ht="20" customHeight="1">
      <c r="A6" s="10" t="inlineStr">
        <is>
          <t>Product</t>
        </is>
      </c>
      <c r="B6" s="10" t="n">
        <v>8</v>
      </c>
      <c r="C6" s="33">
        <f>B6/B10</f>
        <v/>
      </c>
      <c r="D6" s="12">
        <f>B6*72000</f>
        <v/>
      </c>
    </row>
    <row r="7" ht="20" customHeight="1">
      <c r="A7" s="13" t="inlineStr">
        <is>
          <t>Sales</t>
        </is>
      </c>
      <c r="B7" s="13" t="n">
        <v>12</v>
      </c>
      <c r="C7" s="34">
        <f>B7/B10</f>
        <v/>
      </c>
      <c r="D7" s="15">
        <f>B7*52000</f>
        <v/>
      </c>
    </row>
    <row r="8" ht="20" customHeight="1">
      <c r="A8" s="16" t="inlineStr">
        <is>
          <t>RH &amp; Ops</t>
        </is>
      </c>
      <c r="B8" s="16" t="n">
        <v>5</v>
      </c>
      <c r="C8" s="35">
        <f>B8/B10</f>
        <v/>
      </c>
      <c r="D8" s="18">
        <f>B8*55000</f>
        <v/>
      </c>
    </row>
    <row r="9" ht="20" customHeight="1">
      <c r="A9" s="19" t="inlineStr">
        <is>
          <t>Design</t>
        </is>
      </c>
      <c r="B9" s="19" t="n">
        <v>6</v>
      </c>
      <c r="C9" s="36">
        <f>B9/B10</f>
        <v/>
      </c>
      <c r="D9" s="21">
        <f>B9*58000</f>
        <v/>
      </c>
    </row>
    <row r="10" ht="24" customHeight="1">
      <c r="A10" s="37" t="inlineStr">
        <is>
          <t>TOTAL</t>
        </is>
      </c>
      <c r="B10" s="38">
        <f>SUM(B4:B9)</f>
        <v/>
      </c>
      <c r="C10" s="39">
        <f>SUM(C4:C9)</f>
        <v/>
      </c>
      <c r="D10" s="40">
        <f>SUM(D4:D9)</f>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2026-04-20T16:41:44Z</dcterms:created>
  <dcterms:modified xmlns:dcterms="http://purl.org/dc/terms/" xmlns:xsi="http://www.w3.org/2001/XMLSchema-instance" xsi:type="dcterms:W3CDTF">2026-04-20T16:41:45Z</dcterms:modified>
</cp:coreProperties>
</file>